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GOSPEL\Downloads\"/>
    </mc:Choice>
  </mc:AlternateContent>
  <xr:revisionPtr revIDLastSave="0" documentId="13_ncr:1_{0909A672-24C6-4FBB-94B0-1EA12306B0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ler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0" i="1" l="1"/>
  <c r="F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67" i="1" s="1"/>
  <c r="G71" i="1" s="1"/>
</calcChain>
</file>

<file path=xl/sharedStrings.xml><?xml version="1.0" encoding="utf-8"?>
<sst xmlns="http://schemas.openxmlformats.org/spreadsheetml/2006/main" count="113" uniqueCount="63">
  <si>
    <t>No.</t>
  </si>
  <si>
    <t>Tipe</t>
  </si>
  <si>
    <t>Warna</t>
  </si>
  <si>
    <t>Harga Modal</t>
  </si>
  <si>
    <t>Harga Jual</t>
  </si>
  <si>
    <t>Order</t>
  </si>
  <si>
    <t>Total</t>
  </si>
  <si>
    <t>Black</t>
  </si>
  <si>
    <t>Blue</t>
  </si>
  <si>
    <t>-</t>
  </si>
  <si>
    <t>BLACK</t>
  </si>
  <si>
    <t>POTONGAN ORDER</t>
  </si>
  <si>
    <t>Total Order</t>
  </si>
  <si>
    <t>Rek BCA: 3146221118</t>
  </si>
  <si>
    <t>JUMLAH TRANSFER</t>
  </si>
  <si>
    <t>Rek BNI: 804879804</t>
  </si>
  <si>
    <t>PT. Long Yin Teknologi Informasi</t>
  </si>
  <si>
    <t>NOTE:</t>
  </si>
  <si>
    <r>
      <rPr>
        <b/>
        <i/>
        <sz val="18"/>
        <color rgb="FF000000"/>
        <rFont val="Calibri"/>
      </rPr>
      <t xml:space="preserve">Orderan </t>
    </r>
    <r>
      <rPr>
        <b/>
        <sz val="22"/>
        <color rgb="FF000000"/>
        <rFont val="Calibri"/>
      </rPr>
      <t>vivo</t>
    </r>
  </si>
  <si>
    <t>green</t>
  </si>
  <si>
    <t>Purple</t>
  </si>
  <si>
    <t>BLUE</t>
  </si>
  <si>
    <t>Silver</t>
  </si>
  <si>
    <t>Red</t>
  </si>
  <si>
    <t>V50 5G 12/256</t>
  </si>
  <si>
    <t>Y19s PRO 4/128</t>
  </si>
  <si>
    <t>Y19s PRO 4/64</t>
  </si>
  <si>
    <t>Y19s PRO 6/128</t>
  </si>
  <si>
    <t>Y04S 4/64</t>
  </si>
  <si>
    <t>Y400 8/128</t>
  </si>
  <si>
    <r>
      <rPr>
        <b/>
        <i/>
        <sz val="11"/>
        <rFont val="Calibri"/>
      </rPr>
      <t>Purple</t>
    </r>
  </si>
  <si>
    <t>V60 5G 8/256</t>
  </si>
  <si>
    <t>V60 5G 12/256</t>
  </si>
  <si>
    <t>V60 5G 12/512</t>
  </si>
  <si>
    <t>Gray</t>
  </si>
  <si>
    <t>Demo V60 8/256</t>
  </si>
  <si>
    <t xml:space="preserve">Pink </t>
  </si>
  <si>
    <t>V60Lite 5G 8/256</t>
  </si>
  <si>
    <t>V60Lite 5G 12/512</t>
  </si>
  <si>
    <t>V60Lite 4G 8/256</t>
  </si>
  <si>
    <t>V50 LITE 8/256 4G</t>
  </si>
  <si>
    <t>Y21D 4/128</t>
  </si>
  <si>
    <t>Y21D 6/128</t>
  </si>
  <si>
    <t>Y21D 6/256</t>
  </si>
  <si>
    <t>Y21D 8/128</t>
  </si>
  <si>
    <t>PURPLE</t>
  </si>
  <si>
    <t>Y21D 4/128 DEMO</t>
  </si>
  <si>
    <t>Y04S 4/128</t>
  </si>
  <si>
    <t>Y400 8/256</t>
  </si>
  <si>
    <t>GOLD</t>
  </si>
  <si>
    <t xml:space="preserve">PURPLE </t>
  </si>
  <si>
    <t>X300PRO 16/512</t>
  </si>
  <si>
    <t>X300 16/512</t>
  </si>
  <si>
    <t>X300 12/256</t>
  </si>
  <si>
    <t>PINK</t>
  </si>
  <si>
    <t xml:space="preserve">PINK </t>
  </si>
  <si>
    <t>WHITE</t>
  </si>
  <si>
    <t>BROWN</t>
  </si>
  <si>
    <t xml:space="preserve">BLACK </t>
  </si>
  <si>
    <t>GRAY</t>
  </si>
  <si>
    <t>IQOO 15 LG 16/1TB</t>
  </si>
  <si>
    <t>TANGGAL: 5 Januari 2026</t>
  </si>
  <si>
    <t>TOKO : 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</si>
</sst>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[$-409]d/mmm;@"/>
  </numFmts>
  <fonts count="28">
    <font>
      <sz val="11"/>
      <name val="Calibri"/>
    </font>
    <font>
      <sz val="11"/>
      <name val="Calibri"/>
    </font>
    <font>
      <b/>
      <i/>
      <sz val="18"/>
      <color rgb="FF000000"/>
      <name val="Droid Sans"/>
      <charset val="134"/>
    </font>
    <font>
      <b/>
      <sz val="18"/>
      <color rgb="FF000000"/>
      <name val="Calibri"/>
    </font>
    <font>
      <b/>
      <i/>
      <sz val="18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2"/>
      <name val="Calibri"/>
    </font>
    <font>
      <b/>
      <i/>
      <sz val="11"/>
      <name val="Calibri"/>
    </font>
    <font>
      <sz val="11"/>
      <color rgb="FF000000"/>
      <name val="Calibri"/>
    </font>
    <font>
      <b/>
      <sz val="13"/>
      <color rgb="FF000000"/>
      <name val="Calibri"/>
    </font>
    <font>
      <b/>
      <i/>
      <sz val="11"/>
      <color rgb="FFFFFFFF"/>
      <name val="Calibri"/>
    </font>
    <font>
      <b/>
      <i/>
      <sz val="11"/>
      <color rgb="FF000000"/>
      <name val="Calibri"/>
    </font>
    <font>
      <sz val="11"/>
      <color rgb="FF000000"/>
      <name val="Calibri"/>
    </font>
    <font>
      <b/>
      <sz val="12"/>
      <name val="Calibri"/>
    </font>
    <font>
      <b/>
      <i/>
      <sz val="11"/>
      <color rgb="FF36363D"/>
      <name val="Calibri"/>
    </font>
    <font>
      <sz val="11"/>
      <name val="Calibri"/>
    </font>
    <font>
      <b/>
      <sz val="12"/>
      <color rgb="FF000000"/>
      <name val="Calibri"/>
    </font>
    <font>
      <b/>
      <i/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3"/>
      <color rgb="FF000000"/>
      <name val="Calibri"/>
    </font>
    <font>
      <b/>
      <u/>
      <sz val="11"/>
      <color rgb="FF000000"/>
      <name val="Calibri"/>
    </font>
    <font>
      <b/>
      <sz val="14"/>
      <color rgb="FF000000"/>
      <name val="Calibri"/>
    </font>
    <font>
      <sz val="11"/>
      <color rgb="FF808080"/>
      <name val="Calibri"/>
    </font>
    <font>
      <b/>
      <i/>
      <u/>
      <sz val="12"/>
      <color rgb="FF000000"/>
      <name val="Calibri"/>
    </font>
    <font>
      <b/>
      <sz val="22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0099F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none"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0070C0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66565"/>
        <bgColor rgb="FFD66565"/>
      </patternFill>
    </fill>
    <fill>
      <patternFill patternType="solid">
        <fgColor rgb="FF02A5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</patternFill>
    </fill>
    <fill>
      <patternFill patternType="solid">
        <fgColor rgb="FF993300"/>
        <bgColor rgb="FF993300"/>
      </patternFill>
    </fill>
    <fill>
      <patternFill patternType="solid">
        <fgColor rgb="FFD66565"/>
        <bgColor indexed="64"/>
      </patternFill>
    </fill>
    <fill>
      <patternFill patternType="solid">
        <fgColor rgb="FF000000"/>
      </patternFill>
    </fill>
    <fill>
      <patternFill patternType="solid">
        <fgColor rgb="FFDBEEF3"/>
      </patternFill>
    </fill>
    <fill>
      <patternFill patternType="solid">
        <fgColor rgb="FFC6D9F0"/>
      </patternFill>
    </fill>
    <fill>
      <patternFill patternType="solid">
        <fgColor rgb="FF9933FF"/>
        <bgColor rgb="FF9933FF"/>
      </patternFill>
    </fill>
    <fill>
      <patternFill patternType="solid">
        <fgColor rgb="FFC00000"/>
      </patternFill>
    </fill>
    <fill>
      <patternFill patternType="solid">
        <fgColor rgb="FFFF9900"/>
      </patternFill>
    </fill>
    <fill>
      <patternFill patternType="solid">
        <fgColor rgb="FFD9969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1" fillId="0" borderId="0">
      <protection locked="0"/>
    </xf>
  </cellStyleXfs>
  <cellXfs count="106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3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42" fontId="7" fillId="5" borderId="6" xfId="1" applyNumberFormat="1" applyFont="1" applyFill="1" applyBorder="1" applyAlignment="1" applyProtection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42" fontId="10" fillId="9" borderId="9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2" fontId="10" fillId="10" borderId="11" xfId="1" applyNumberFormat="1" applyFont="1" applyFill="1" applyBorder="1" applyAlignment="1" applyProtection="1">
      <alignment vertical="center"/>
    </xf>
    <xf numFmtId="0" fontId="5" fillId="4" borderId="0" xfId="0" applyFont="1" applyFill="1" applyBorder="1" applyAlignment="1">
      <alignment vertical="top" wrapText="1"/>
    </xf>
    <xf numFmtId="0" fontId="9" fillId="11" borderId="8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0" fontId="13" fillId="13" borderId="13" xfId="0" applyNumberFormat="1" applyFont="1" applyFill="1" applyBorder="1" applyAlignment="1">
      <alignment horizontal="center" vertical="center"/>
    </xf>
    <xf numFmtId="164" fontId="8" fillId="7" borderId="7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9" fillId="15" borderId="8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0" fontId="12" fillId="16" borderId="8" xfId="0" applyFont="1" applyFill="1" applyBorder="1" applyAlignment="1">
      <alignment horizontal="center" vertical="center"/>
    </xf>
    <xf numFmtId="0" fontId="9" fillId="17" borderId="16" xfId="0" applyNumberFormat="1" applyFont="1" applyFill="1" applyBorder="1" applyAlignment="1">
      <alignment horizontal="center" vertical="center"/>
    </xf>
    <xf numFmtId="42" fontId="10" fillId="9" borderId="9" xfId="0" applyNumberFormat="1" applyFont="1" applyFill="1" applyBorder="1" applyAlignment="1">
      <alignment horizontal="center" vertical="center" wrapText="1"/>
    </xf>
    <xf numFmtId="0" fontId="16" fillId="18" borderId="8" xfId="0" applyFont="1" applyFill="1" applyBorder="1" applyAlignment="1">
      <alignment horizontal="center" vertical="center"/>
    </xf>
    <xf numFmtId="0" fontId="16" fillId="19" borderId="8" xfId="0" applyFont="1" applyFill="1" applyBorder="1" applyAlignment="1">
      <alignment horizontal="center" vertical="center"/>
    </xf>
    <xf numFmtId="42" fontId="10" fillId="9" borderId="15" xfId="0" applyNumberFormat="1" applyFont="1" applyFill="1" applyBorder="1" applyAlignment="1">
      <alignment horizontal="center" vertical="center"/>
    </xf>
    <xf numFmtId="0" fontId="17" fillId="20" borderId="0" xfId="0" applyFont="1" applyFill="1" applyBorder="1">
      <alignment vertical="center"/>
    </xf>
    <xf numFmtId="0" fontId="12" fillId="21" borderId="16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22" borderId="8" xfId="0" applyFont="1" applyFill="1" applyBorder="1" applyAlignment="1">
      <alignment horizontal="center" vertical="center"/>
    </xf>
    <xf numFmtId="0" fontId="19" fillId="23" borderId="13" xfId="0" applyNumberFormat="1" applyFont="1" applyFill="1" applyBorder="1" applyAlignment="1">
      <alignment horizontal="center" vertical="center"/>
    </xf>
    <xf numFmtId="42" fontId="20" fillId="25" borderId="17" xfId="0" applyNumberFormat="1" applyFont="1" applyFill="1" applyBorder="1" applyAlignment="1">
      <alignment horizontal="center" vertical="center"/>
    </xf>
    <xf numFmtId="42" fontId="21" fillId="25" borderId="18" xfId="0" applyNumberFormat="1" applyFont="1" applyFill="1" applyBorder="1" applyAlignment="1">
      <alignment horizontal="center" vertical="center" wrapText="1"/>
    </xf>
    <xf numFmtId="0" fontId="22" fillId="0" borderId="19" xfId="0" applyNumberFormat="1" applyFont="1" applyBorder="1" applyAlignment="1">
      <alignment horizontal="center" vertical="center"/>
    </xf>
    <xf numFmtId="0" fontId="9" fillId="26" borderId="16" xfId="0" applyNumberFormat="1" applyFont="1" applyFill="1" applyBorder="1" applyAlignment="1">
      <alignment horizontal="center" vertical="center"/>
    </xf>
    <xf numFmtId="0" fontId="12" fillId="27" borderId="13" xfId="0" applyNumberFormat="1" applyFont="1" applyFill="1" applyBorder="1" applyAlignment="1">
      <alignment horizontal="center" vertical="center"/>
    </xf>
    <xf numFmtId="0" fontId="12" fillId="28" borderId="13" xfId="0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3" fillId="19" borderId="9" xfId="0" applyFont="1" applyFill="1" applyBorder="1" applyAlignment="1">
      <alignment horizontal="center" vertical="center"/>
    </xf>
    <xf numFmtId="0" fontId="7" fillId="30" borderId="22" xfId="0" applyFont="1" applyFill="1" applyBorder="1" applyAlignment="1">
      <alignment horizontal="center" vertical="center"/>
    </xf>
    <xf numFmtId="0" fontId="24" fillId="30" borderId="22" xfId="0" applyFont="1" applyFill="1" applyBorder="1" applyAlignment="1">
      <alignment horizontal="center" vertical="center"/>
    </xf>
    <xf numFmtId="42" fontId="7" fillId="30" borderId="22" xfId="1" applyNumberFormat="1" applyFont="1" applyFill="1" applyBorder="1" applyAlignment="1" applyProtection="1">
      <alignment horizontal="center" vertical="center"/>
    </xf>
    <xf numFmtId="42" fontId="5" fillId="19" borderId="25" xfId="1" applyNumberFormat="1" applyFont="1" applyFill="1" applyBorder="1" applyAlignment="1" applyProtection="1">
      <alignment vertical="center" wrapText="1"/>
    </xf>
    <xf numFmtId="0" fontId="25" fillId="20" borderId="0" xfId="0" applyFont="1" applyFill="1" applyAlignment="1">
      <alignment horizontal="center" vertical="center"/>
    </xf>
    <xf numFmtId="42" fontId="7" fillId="29" borderId="22" xfId="1" applyNumberFormat="1" applyFont="1" applyFill="1" applyBorder="1" applyAlignment="1" applyProtection="1">
      <alignment vertical="top" wrapText="1"/>
    </xf>
    <xf numFmtId="0" fontId="10" fillId="3" borderId="0" xfId="0" applyFont="1" applyFill="1" applyAlignment="1">
      <alignment horizontal="center" vertical="center"/>
    </xf>
    <xf numFmtId="42" fontId="10" fillId="3" borderId="0" xfId="1" applyNumberFormat="1" applyFont="1" applyFill="1" applyAlignment="1" applyProtection="1">
      <alignment horizontal="center" vertical="center"/>
    </xf>
    <xf numFmtId="42" fontId="5" fillId="4" borderId="0" xfId="1" applyNumberFormat="1" applyFont="1" applyFill="1" applyAlignment="1" applyProtection="1">
      <alignment vertical="top" wrapText="1"/>
    </xf>
    <xf numFmtId="0" fontId="5" fillId="31" borderId="23" xfId="0" applyFont="1" applyFill="1" applyBorder="1" applyAlignment="1">
      <alignment horizontal="center" vertical="center" wrapText="1"/>
    </xf>
    <xf numFmtId="0" fontId="23" fillId="29" borderId="20" xfId="0" applyFont="1" applyFill="1" applyBorder="1" applyAlignment="1">
      <alignment horizontal="center" vertical="center"/>
    </xf>
    <xf numFmtId="0" fontId="23" fillId="29" borderId="21" xfId="0" applyFont="1" applyFill="1" applyBorder="1" applyAlignment="1">
      <alignment horizontal="center" vertical="center"/>
    </xf>
    <xf numFmtId="0" fontId="23" fillId="29" borderId="2" xfId="0" applyFont="1" applyFill="1" applyBorder="1" applyAlignment="1">
      <alignment horizontal="center" vertical="center"/>
    </xf>
    <xf numFmtId="0" fontId="23" fillId="29" borderId="3" xfId="0" applyFont="1" applyFill="1" applyBorder="1" applyAlignment="1">
      <alignment horizontal="center" vertical="center"/>
    </xf>
    <xf numFmtId="0" fontId="8" fillId="24" borderId="13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164" fontId="8" fillId="7" borderId="7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9" borderId="26" xfId="0" applyFont="1" applyFill="1" applyBorder="1" applyAlignment="1">
      <alignment horizontal="right" vertical="top" wrapText="1"/>
    </xf>
    <xf numFmtId="0" fontId="7" fillId="29" borderId="27" xfId="0" applyFont="1" applyFill="1" applyBorder="1" applyAlignment="1">
      <alignment horizontal="right" vertical="top" wrapText="1"/>
    </xf>
    <xf numFmtId="0" fontId="7" fillId="29" borderId="28" xfId="0" applyFont="1" applyFill="1" applyBorder="1" applyAlignment="1">
      <alignment horizontal="right" vertical="top" wrapText="1"/>
    </xf>
    <xf numFmtId="0" fontId="18" fillId="30" borderId="34" xfId="0" applyFont="1" applyFill="1" applyBorder="1" applyAlignment="1">
      <alignment horizontal="center" vertical="top" wrapText="1"/>
    </xf>
    <xf numFmtId="0" fontId="18" fillId="30" borderId="9" xfId="0" applyFont="1" applyFill="1" applyBorder="1" applyAlignment="1">
      <alignment horizontal="center" vertical="top" wrapText="1"/>
    </xf>
    <xf numFmtId="0" fontId="18" fillId="30" borderId="35" xfId="0" applyFont="1" applyFill="1" applyBorder="1" applyAlignment="1">
      <alignment horizontal="center" vertical="top" wrapText="1"/>
    </xf>
    <xf numFmtId="0" fontId="18" fillId="7" borderId="8" xfId="0" applyFont="1" applyFill="1" applyBorder="1" applyAlignment="1">
      <alignment horizontal="center" vertical="center" wrapText="1"/>
    </xf>
    <xf numFmtId="0" fontId="18" fillId="32" borderId="32" xfId="0" applyFont="1" applyFill="1" applyBorder="1" applyAlignment="1">
      <alignment horizontal="center" vertical="center" wrapText="1"/>
    </xf>
    <xf numFmtId="0" fontId="18" fillId="32" borderId="33" xfId="0" applyFont="1" applyFill="1" applyBorder="1" applyAlignment="1">
      <alignment horizontal="center" vertical="center" wrapText="1"/>
    </xf>
    <xf numFmtId="0" fontId="18" fillId="32" borderId="20" xfId="0" applyFont="1" applyFill="1" applyBorder="1" applyAlignment="1">
      <alignment horizontal="center" vertical="center" wrapText="1"/>
    </xf>
    <xf numFmtId="0" fontId="18" fillId="32" borderId="36" xfId="0" applyFont="1" applyFill="1" applyBorder="1" applyAlignment="1">
      <alignment horizontal="center" vertical="center" wrapText="1"/>
    </xf>
    <xf numFmtId="0" fontId="5" fillId="31" borderId="23" xfId="0" applyFont="1" applyFill="1" applyBorder="1" applyAlignment="1">
      <alignment horizontal="right" vertical="center" wrapText="1"/>
    </xf>
    <xf numFmtId="0" fontId="5" fillId="31" borderId="24" xfId="0" applyFont="1" applyFill="1" applyBorder="1" applyAlignment="1">
      <alignment horizontal="right" vertical="center" wrapText="1"/>
    </xf>
    <xf numFmtId="0" fontId="18" fillId="30" borderId="29" xfId="0" applyFont="1" applyFill="1" applyBorder="1" applyAlignment="1">
      <alignment horizontal="center" vertical="top" wrapText="1"/>
    </xf>
    <xf numFmtId="0" fontId="18" fillId="30" borderId="30" xfId="0" applyFont="1" applyFill="1" applyBorder="1" applyAlignment="1">
      <alignment horizontal="center" vertical="top" wrapText="1"/>
    </xf>
    <xf numFmtId="0" fontId="18" fillId="30" borderId="31" xfId="0" applyFont="1" applyFill="1" applyBorder="1" applyAlignment="1">
      <alignment horizontal="center" vertical="top" wrapText="1"/>
    </xf>
    <xf numFmtId="0" fontId="8" fillId="7" borderId="8" xfId="0" applyFont="1" applyFill="1" applyBorder="1" applyAlignment="1">
      <alignment horizontal="center" vertical="center" wrapText="1"/>
    </xf>
    <xf numFmtId="42" fontId="18" fillId="32" borderId="25" xfId="1" applyNumberFormat="1" applyFont="1" applyFill="1" applyBorder="1" applyAlignment="1" applyProtection="1">
      <alignment horizontal="center" vertical="center" wrapText="1"/>
    </xf>
    <xf numFmtId="42" fontId="18" fillId="32" borderId="37" xfId="1" applyNumberFormat="1" applyFont="1" applyFill="1" applyBorder="1" applyAlignment="1" applyProtection="1">
      <alignment horizontal="center" vertical="center" wrapText="1"/>
    </xf>
    <xf numFmtId="0" fontId="7" fillId="30" borderId="38" xfId="0" applyFont="1" applyFill="1" applyBorder="1" applyAlignment="1">
      <alignment horizontal="center" vertical="top" wrapText="1"/>
    </xf>
    <xf numFmtId="0" fontId="7" fillId="30" borderId="7" xfId="0" applyFont="1" applyFill="1" applyBorder="1" applyAlignment="1">
      <alignment horizontal="center" vertical="top" wrapText="1"/>
    </xf>
    <xf numFmtId="0" fontId="7" fillId="30" borderId="39" xfId="0" applyFont="1" applyFill="1" applyBorder="1" applyAlignment="1">
      <alignment horizontal="center" vertical="top" wrapText="1"/>
    </xf>
    <xf numFmtId="0" fontId="10" fillId="31" borderId="4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1" borderId="41" xfId="0" applyFont="1" applyFill="1" applyBorder="1" applyAlignment="1">
      <alignment horizontal="center" vertical="center" wrapText="1"/>
    </xf>
    <xf numFmtId="0" fontId="26" fillId="31" borderId="32" xfId="0" applyFont="1" applyFill="1" applyBorder="1" applyAlignment="1">
      <alignment horizontal="center" vertical="center" wrapText="1"/>
    </xf>
    <xf numFmtId="0" fontId="26" fillId="31" borderId="40" xfId="0" applyFont="1" applyFill="1" applyBorder="1" applyAlignment="1">
      <alignment horizontal="center" vertical="center" wrapText="1"/>
    </xf>
    <xf numFmtId="0" fontId="26" fillId="31" borderId="33" xfId="0" applyFont="1" applyFill="1" applyBorder="1" applyAlignment="1">
      <alignment horizontal="center" vertical="center" wrapText="1"/>
    </xf>
    <xf numFmtId="0" fontId="26" fillId="31" borderId="42" xfId="0" applyFont="1" applyFill="1" applyBorder="1" applyAlignment="1">
      <alignment horizontal="center" vertical="center" wrapText="1"/>
    </xf>
    <xf numFmtId="0" fontId="26" fillId="31" borderId="0" xfId="0" applyFont="1" applyFill="1" applyAlignment="1">
      <alignment horizontal="center" vertical="center" wrapText="1"/>
    </xf>
    <xf numFmtId="0" fontId="26" fillId="31" borderId="43" xfId="0" applyFont="1" applyFill="1" applyBorder="1" applyAlignment="1">
      <alignment horizontal="center" vertical="center" wrapText="1"/>
    </xf>
    <xf numFmtId="0" fontId="26" fillId="31" borderId="20" xfId="0" applyFont="1" applyFill="1" applyBorder="1" applyAlignment="1">
      <alignment horizontal="center" vertical="center" wrapText="1"/>
    </xf>
    <xf numFmtId="0" fontId="26" fillId="31" borderId="21" xfId="0" applyFont="1" applyFill="1" applyBorder="1" applyAlignment="1">
      <alignment horizontal="center" vertical="center" wrapText="1"/>
    </xf>
    <xf numFmtId="0" fontId="26" fillId="31" borderId="36" xfId="0" applyFont="1" applyFill="1" applyBorder="1" applyAlignment="1">
      <alignment horizontal="center" vertical="center" wrapText="1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zoomScale="89" zoomScaleNormal="89" workbookViewId="0">
      <selection activeCell="R67" sqref="R67"/>
    </sheetView>
  </sheetViews>
  <sheetFormatPr defaultColWidth="9" defaultRowHeight="15"/>
  <cols>
    <col min="1" max="1" width="4.42578125" style="1" customWidth="1"/>
    <col min="2" max="2" width="30.140625" style="1" customWidth="1"/>
    <col min="3" max="3" width="15.42578125" style="1" customWidth="1"/>
    <col min="4" max="4" width="24.28515625" style="1" customWidth="1"/>
    <col min="5" max="5" width="15.42578125" style="1" customWidth="1"/>
    <col min="6" max="6" width="8.5703125" style="1" customWidth="1"/>
    <col min="7" max="7" width="16.7109375" style="1" customWidth="1"/>
    <col min="8" max="15" width="9" bestFit="1" customWidth="1"/>
  </cols>
  <sheetData>
    <row r="1" spans="1:8" ht="29.25" customHeight="1">
      <c r="A1" s="69" t="s">
        <v>18</v>
      </c>
      <c r="B1" s="70"/>
      <c r="C1" s="70"/>
      <c r="D1" s="94" t="s">
        <v>62</v>
      </c>
      <c r="E1" s="94"/>
      <c r="F1" s="94"/>
      <c r="G1" s="95"/>
      <c r="H1" s="2"/>
    </row>
    <row r="2" spans="1:8" ht="16.5" customHeight="1">
      <c r="A2" s="61" t="s">
        <v>61</v>
      </c>
      <c r="B2" s="62"/>
      <c r="C2" s="62"/>
      <c r="D2" s="62"/>
      <c r="E2" s="62"/>
      <c r="F2" s="62"/>
      <c r="G2" s="63"/>
      <c r="H2" s="3"/>
    </row>
    <row r="3" spans="1:8" ht="15.75" customHeight="1">
      <c r="A3" s="4" t="s">
        <v>0</v>
      </c>
      <c r="B3" s="5" t="s">
        <v>1</v>
      </c>
      <c r="C3" s="6" t="s">
        <v>2</v>
      </c>
      <c r="D3" s="6" t="s">
        <v>3</v>
      </c>
      <c r="E3" s="6" t="s">
        <v>4</v>
      </c>
      <c r="F3" s="7" t="s">
        <v>5</v>
      </c>
      <c r="G3" s="8" t="s">
        <v>6</v>
      </c>
      <c r="H3" s="3"/>
    </row>
    <row r="4" spans="1:8" ht="18" customHeight="1">
      <c r="A4" s="9"/>
      <c r="B4" s="65" t="s">
        <v>47</v>
      </c>
      <c r="C4" s="10" t="s">
        <v>20</v>
      </c>
      <c r="D4" s="11">
        <v>1660000</v>
      </c>
      <c r="E4" s="11">
        <v>1799000</v>
      </c>
      <c r="F4" s="12"/>
      <c r="G4" s="13">
        <f t="shared" ref="G4:G35" si="0">D4*F4</f>
        <v>0</v>
      </c>
      <c r="H4" s="14"/>
    </row>
    <row r="5" spans="1:8" ht="18" customHeight="1">
      <c r="A5" s="9"/>
      <c r="B5" s="65"/>
      <c r="C5" s="15" t="s">
        <v>19</v>
      </c>
      <c r="D5" s="11">
        <v>1660000</v>
      </c>
      <c r="E5" s="11">
        <v>1799000</v>
      </c>
      <c r="F5" s="12"/>
      <c r="G5" s="13">
        <f t="shared" si="0"/>
        <v>0</v>
      </c>
      <c r="H5" s="14"/>
    </row>
    <row r="6" spans="1:8" ht="18" customHeight="1">
      <c r="A6" s="66"/>
      <c r="B6" s="65" t="s">
        <v>28</v>
      </c>
      <c r="C6" s="10" t="s">
        <v>20</v>
      </c>
      <c r="D6" s="11">
        <v>1444000</v>
      </c>
      <c r="E6" s="11">
        <v>1549000</v>
      </c>
      <c r="F6" s="12"/>
      <c r="G6" s="13">
        <f t="shared" si="0"/>
        <v>0</v>
      </c>
      <c r="H6" s="14"/>
    </row>
    <row r="7" spans="1:8" ht="18" customHeight="1">
      <c r="A7" s="66"/>
      <c r="B7" s="65"/>
      <c r="C7" s="15" t="s">
        <v>19</v>
      </c>
      <c r="D7" s="11">
        <v>1444000</v>
      </c>
      <c r="E7" s="11">
        <v>1549000</v>
      </c>
      <c r="F7" s="12"/>
      <c r="G7" s="13">
        <f t="shared" si="0"/>
        <v>0</v>
      </c>
      <c r="H7" s="14"/>
    </row>
    <row r="8" spans="1:8" ht="18" customHeight="1">
      <c r="A8" s="17"/>
      <c r="B8" s="65" t="s">
        <v>35</v>
      </c>
      <c r="C8" s="18" t="s">
        <v>34</v>
      </c>
      <c r="D8" s="11">
        <v>4200000</v>
      </c>
      <c r="E8" s="11" t="s">
        <v>9</v>
      </c>
      <c r="F8" s="12"/>
      <c r="G8" s="13">
        <f t="shared" si="0"/>
        <v>0</v>
      </c>
      <c r="H8" s="14"/>
    </row>
    <row r="9" spans="1:8" ht="17.25">
      <c r="A9" s="17"/>
      <c r="B9" s="65"/>
      <c r="C9" s="19" t="s">
        <v>20</v>
      </c>
      <c r="D9" s="11">
        <v>4200000</v>
      </c>
      <c r="E9" s="11" t="s">
        <v>9</v>
      </c>
      <c r="F9" s="12"/>
      <c r="G9" s="13">
        <f t="shared" si="0"/>
        <v>0</v>
      </c>
      <c r="H9" s="14"/>
    </row>
    <row r="10" spans="1:8" ht="18" customHeight="1">
      <c r="A10" s="16"/>
      <c r="B10" s="65"/>
      <c r="C10" s="20" t="s">
        <v>8</v>
      </c>
      <c r="D10" s="11">
        <v>4200000</v>
      </c>
      <c r="E10" s="11" t="s">
        <v>9</v>
      </c>
      <c r="F10" s="12"/>
      <c r="G10" s="13">
        <f t="shared" si="0"/>
        <v>0</v>
      </c>
      <c r="H10" s="14"/>
    </row>
    <row r="11" spans="1:8" ht="18" customHeight="1">
      <c r="A11" s="16"/>
      <c r="B11" s="65" t="s">
        <v>29</v>
      </c>
      <c r="C11" s="10" t="s">
        <v>20</v>
      </c>
      <c r="D11" s="11">
        <v>2899000</v>
      </c>
      <c r="E11" s="11">
        <v>3199000</v>
      </c>
      <c r="F11" s="12"/>
      <c r="G11" s="13">
        <f t="shared" si="0"/>
        <v>0</v>
      </c>
      <c r="H11" s="14"/>
    </row>
    <row r="12" spans="1:8" ht="18" customHeight="1">
      <c r="A12" s="16"/>
      <c r="B12" s="65"/>
      <c r="C12" s="15" t="s">
        <v>19</v>
      </c>
      <c r="D12" s="11">
        <v>2899000</v>
      </c>
      <c r="E12" s="11">
        <v>3199000</v>
      </c>
      <c r="F12" s="12"/>
      <c r="G12" s="13">
        <f t="shared" si="0"/>
        <v>0</v>
      </c>
      <c r="H12" s="14"/>
    </row>
    <row r="13" spans="1:8" ht="17.25">
      <c r="A13" s="66"/>
      <c r="B13" s="65" t="s">
        <v>48</v>
      </c>
      <c r="C13" s="10" t="s">
        <v>20</v>
      </c>
      <c r="D13" s="11">
        <v>3170000</v>
      </c>
      <c r="E13" s="11">
        <v>3499000</v>
      </c>
      <c r="F13" s="12"/>
      <c r="G13" s="13">
        <f t="shared" si="0"/>
        <v>0</v>
      </c>
      <c r="H13" s="14"/>
    </row>
    <row r="14" spans="1:8" ht="18" customHeight="1">
      <c r="A14" s="66"/>
      <c r="B14" s="65"/>
      <c r="C14" s="15" t="s">
        <v>19</v>
      </c>
      <c r="D14" s="11">
        <v>3170000</v>
      </c>
      <c r="E14" s="11">
        <v>3499000</v>
      </c>
      <c r="F14" s="12"/>
      <c r="G14" s="13">
        <f t="shared" si="0"/>
        <v>0</v>
      </c>
      <c r="H14" s="14"/>
    </row>
    <row r="15" spans="1:8" ht="17.25">
      <c r="A15" s="22"/>
      <c r="B15" s="65" t="s">
        <v>26</v>
      </c>
      <c r="C15" s="23" t="s">
        <v>7</v>
      </c>
      <c r="D15" s="11">
        <v>1497000</v>
      </c>
      <c r="E15" s="11">
        <v>1599000</v>
      </c>
      <c r="F15" s="12"/>
      <c r="G15" s="13">
        <f t="shared" si="0"/>
        <v>0</v>
      </c>
      <c r="H15" s="14"/>
    </row>
    <row r="16" spans="1:8" ht="18" customHeight="1">
      <c r="A16" s="22"/>
      <c r="B16" s="65"/>
      <c r="C16" s="24" t="s">
        <v>22</v>
      </c>
      <c r="D16" s="11">
        <v>1497000</v>
      </c>
      <c r="E16" s="11">
        <v>1599000</v>
      </c>
      <c r="F16" s="12"/>
      <c r="G16" s="13">
        <f t="shared" si="0"/>
        <v>0</v>
      </c>
      <c r="H16" s="14"/>
    </row>
    <row r="17" spans="1:8" ht="18" customHeight="1">
      <c r="A17" s="22"/>
      <c r="B17" s="65" t="s">
        <v>25</v>
      </c>
      <c r="C17" s="23" t="s">
        <v>7</v>
      </c>
      <c r="D17" s="11">
        <v>1667000</v>
      </c>
      <c r="E17" s="11">
        <v>1799000</v>
      </c>
      <c r="F17" s="12"/>
      <c r="G17" s="13">
        <f t="shared" si="0"/>
        <v>0</v>
      </c>
      <c r="H17" s="14"/>
    </row>
    <row r="18" spans="1:8" ht="18" customHeight="1">
      <c r="A18" s="22"/>
      <c r="B18" s="65"/>
      <c r="C18" s="24" t="s">
        <v>22</v>
      </c>
      <c r="D18" s="11">
        <v>1667000</v>
      </c>
      <c r="E18" s="11">
        <v>1799000</v>
      </c>
      <c r="F18" s="12"/>
      <c r="G18" s="13">
        <f t="shared" si="0"/>
        <v>0</v>
      </c>
      <c r="H18" s="14"/>
    </row>
    <row r="19" spans="1:8" ht="18" customHeight="1">
      <c r="A19" s="22"/>
      <c r="B19" s="65" t="s">
        <v>27</v>
      </c>
      <c r="C19" s="23" t="s">
        <v>7</v>
      </c>
      <c r="D19" s="11">
        <v>1829000</v>
      </c>
      <c r="E19" s="11">
        <v>1999000</v>
      </c>
      <c r="F19" s="12">
        <v>1</v>
      </c>
      <c r="G19" s="13">
        <f t="shared" si="0"/>
        <v>1829000</v>
      </c>
      <c r="H19" s="14"/>
    </row>
    <row r="20" spans="1:8" ht="17.25">
      <c r="A20" s="22"/>
      <c r="B20" s="65"/>
      <c r="C20" s="24" t="s">
        <v>22</v>
      </c>
      <c r="D20" s="11">
        <v>1829000</v>
      </c>
      <c r="E20" s="11">
        <v>1999000</v>
      </c>
      <c r="F20" s="12"/>
      <c r="G20" s="13">
        <f t="shared" si="0"/>
        <v>0</v>
      </c>
      <c r="H20" s="14"/>
    </row>
    <row r="21" spans="1:8" ht="17.25">
      <c r="A21" s="22"/>
      <c r="B21" s="21" t="s">
        <v>41</v>
      </c>
      <c r="C21" s="25" t="s">
        <v>10</v>
      </c>
      <c r="D21" s="11">
        <v>2350000</v>
      </c>
      <c r="E21" s="11">
        <v>2599000</v>
      </c>
      <c r="F21" s="12"/>
      <c r="G21" s="13">
        <f t="shared" si="0"/>
        <v>0</v>
      </c>
      <c r="H21" s="14"/>
    </row>
    <row r="22" spans="1:8" ht="17.25">
      <c r="A22" s="22"/>
      <c r="B22" s="21" t="s">
        <v>41</v>
      </c>
      <c r="C22" s="26" t="s">
        <v>45</v>
      </c>
      <c r="D22" s="11">
        <v>2350000</v>
      </c>
      <c r="E22" s="11">
        <v>2599000</v>
      </c>
      <c r="F22" s="12"/>
      <c r="G22" s="13">
        <f t="shared" si="0"/>
        <v>0</v>
      </c>
      <c r="H22" s="14"/>
    </row>
    <row r="23" spans="1:8" ht="17.25">
      <c r="A23" s="22"/>
      <c r="B23" s="21" t="s">
        <v>42</v>
      </c>
      <c r="C23" s="25" t="s">
        <v>10</v>
      </c>
      <c r="D23" s="11">
        <v>2720000</v>
      </c>
      <c r="E23" s="11">
        <v>2999000</v>
      </c>
      <c r="F23" s="12"/>
      <c r="G23" s="13">
        <f t="shared" si="0"/>
        <v>0</v>
      </c>
      <c r="H23" s="14"/>
    </row>
    <row r="24" spans="1:8" ht="17.25">
      <c r="A24" s="22"/>
      <c r="B24" s="21" t="s">
        <v>42</v>
      </c>
      <c r="C24" s="26" t="s">
        <v>45</v>
      </c>
      <c r="D24" s="11">
        <v>2720000</v>
      </c>
      <c r="E24" s="11">
        <v>2999000</v>
      </c>
      <c r="F24" s="12"/>
      <c r="G24" s="13">
        <f t="shared" si="0"/>
        <v>0</v>
      </c>
      <c r="H24" s="14"/>
    </row>
    <row r="25" spans="1:8" ht="17.25">
      <c r="A25" s="22"/>
      <c r="B25" s="21" t="s">
        <v>43</v>
      </c>
      <c r="C25" s="25" t="s">
        <v>10</v>
      </c>
      <c r="D25" s="11">
        <v>3080000</v>
      </c>
      <c r="E25" s="11">
        <v>3399000</v>
      </c>
      <c r="F25" s="12"/>
      <c r="G25" s="13">
        <f t="shared" si="0"/>
        <v>0</v>
      </c>
      <c r="H25" s="14"/>
    </row>
    <row r="26" spans="1:8" ht="17.25">
      <c r="A26" s="22"/>
      <c r="B26" s="21" t="s">
        <v>43</v>
      </c>
      <c r="C26" s="26" t="s">
        <v>45</v>
      </c>
      <c r="D26" s="11">
        <v>3080000</v>
      </c>
      <c r="E26" s="11">
        <v>3399000</v>
      </c>
      <c r="F26" s="12"/>
      <c r="G26" s="13">
        <f t="shared" si="0"/>
        <v>0</v>
      </c>
      <c r="H26" s="14"/>
    </row>
    <row r="27" spans="1:8" ht="17.25">
      <c r="A27" s="22"/>
      <c r="B27" s="21" t="s">
        <v>44</v>
      </c>
      <c r="C27" s="25" t="s">
        <v>10</v>
      </c>
      <c r="D27" s="11">
        <v>3080000</v>
      </c>
      <c r="E27" s="11">
        <v>3399000</v>
      </c>
      <c r="F27" s="12"/>
      <c r="G27" s="13">
        <f t="shared" si="0"/>
        <v>0</v>
      </c>
      <c r="H27" s="14"/>
    </row>
    <row r="28" spans="1:8" ht="17.25">
      <c r="A28" s="22"/>
      <c r="B28" s="21" t="s">
        <v>44</v>
      </c>
      <c r="C28" s="26" t="s">
        <v>45</v>
      </c>
      <c r="D28" s="11">
        <v>3080000</v>
      </c>
      <c r="E28" s="11">
        <v>3399000</v>
      </c>
      <c r="F28" s="12"/>
      <c r="G28" s="13">
        <f t="shared" si="0"/>
        <v>0</v>
      </c>
      <c r="H28" s="14"/>
    </row>
    <row r="29" spans="1:8" ht="17.25">
      <c r="A29" s="22"/>
      <c r="B29" s="21" t="s">
        <v>46</v>
      </c>
      <c r="C29" s="25" t="s">
        <v>10</v>
      </c>
      <c r="D29" s="11">
        <v>1260000</v>
      </c>
      <c r="E29" s="11"/>
      <c r="F29" s="12"/>
      <c r="G29" s="13">
        <f t="shared" si="0"/>
        <v>0</v>
      </c>
      <c r="H29" s="14"/>
    </row>
    <row r="30" spans="1:8" ht="17.25">
      <c r="A30" s="22"/>
      <c r="B30" s="21" t="s">
        <v>46</v>
      </c>
      <c r="C30" s="26" t="s">
        <v>45</v>
      </c>
      <c r="D30" s="11">
        <v>1260000</v>
      </c>
      <c r="E30" s="11"/>
      <c r="F30" s="12"/>
      <c r="G30" s="13">
        <f t="shared" si="0"/>
        <v>0</v>
      </c>
      <c r="H30" s="14"/>
    </row>
    <row r="31" spans="1:8" ht="17.25">
      <c r="A31" s="64"/>
      <c r="B31" s="67" t="s">
        <v>53</v>
      </c>
      <c r="C31" s="27" t="s">
        <v>54</v>
      </c>
      <c r="D31" s="11">
        <v>13500000</v>
      </c>
      <c r="E31" s="28">
        <v>14999000</v>
      </c>
      <c r="F31" s="12"/>
      <c r="G31" s="13">
        <f t="shared" si="0"/>
        <v>0</v>
      </c>
      <c r="H31" s="14"/>
    </row>
    <row r="32" spans="1:8" ht="17.25">
      <c r="A32" s="64"/>
      <c r="B32" s="68"/>
      <c r="C32" s="29" t="s">
        <v>21</v>
      </c>
      <c r="D32" s="11">
        <v>13500000</v>
      </c>
      <c r="E32" s="28">
        <v>14999000</v>
      </c>
      <c r="F32" s="12"/>
      <c r="G32" s="13">
        <f t="shared" si="0"/>
        <v>0</v>
      </c>
      <c r="H32" s="14"/>
    </row>
    <row r="33" spans="1:8" ht="17.25">
      <c r="A33" s="64"/>
      <c r="B33" s="67"/>
      <c r="C33" s="25" t="s">
        <v>10</v>
      </c>
      <c r="D33" s="11">
        <v>13500000</v>
      </c>
      <c r="E33" s="28">
        <v>14999000</v>
      </c>
      <c r="F33" s="12"/>
      <c r="G33" s="13">
        <f t="shared" si="0"/>
        <v>0</v>
      </c>
      <c r="H33" s="14"/>
    </row>
    <row r="34" spans="1:8" ht="18" customHeight="1">
      <c r="A34" s="64"/>
      <c r="B34" s="67" t="s">
        <v>52</v>
      </c>
      <c r="C34" s="27" t="s">
        <v>55</v>
      </c>
      <c r="D34" s="11">
        <v>15300000</v>
      </c>
      <c r="E34" s="28">
        <v>16999000</v>
      </c>
      <c r="F34" s="12"/>
      <c r="G34" s="13">
        <f t="shared" si="0"/>
        <v>0</v>
      </c>
      <c r="H34" s="14"/>
    </row>
    <row r="35" spans="1:8" ht="17.25">
      <c r="A35" s="64"/>
      <c r="B35" s="68"/>
      <c r="C35" s="29" t="s">
        <v>21</v>
      </c>
      <c r="D35" s="11">
        <v>15300000</v>
      </c>
      <c r="E35" s="28">
        <v>16999000</v>
      </c>
      <c r="F35" s="12"/>
      <c r="G35" s="13">
        <f t="shared" si="0"/>
        <v>0</v>
      </c>
      <c r="H35" s="14"/>
    </row>
    <row r="36" spans="1:8" ht="18" customHeight="1">
      <c r="A36" s="64"/>
      <c r="B36" s="67"/>
      <c r="C36" s="25" t="s">
        <v>10</v>
      </c>
      <c r="D36" s="11">
        <v>15300000</v>
      </c>
      <c r="E36" s="28">
        <v>16999000</v>
      </c>
      <c r="F36" s="12"/>
      <c r="G36" s="13">
        <f t="shared" ref="G36:G67" si="1">D36*F36</f>
        <v>0</v>
      </c>
      <c r="H36" s="14"/>
    </row>
    <row r="37" spans="1:8" ht="18" customHeight="1">
      <c r="A37" s="66"/>
      <c r="B37" s="67" t="s">
        <v>51</v>
      </c>
      <c r="C37" s="30" t="s">
        <v>56</v>
      </c>
      <c r="D37" s="31">
        <v>17100000</v>
      </c>
      <c r="E37" s="28">
        <v>18999000</v>
      </c>
      <c r="F37" s="12"/>
      <c r="G37" s="13">
        <f t="shared" si="1"/>
        <v>0</v>
      </c>
      <c r="H37" s="32"/>
    </row>
    <row r="38" spans="1:8" ht="17.25">
      <c r="A38" s="68"/>
      <c r="B38" s="68"/>
      <c r="C38" s="33" t="s">
        <v>57</v>
      </c>
      <c r="D38" s="31">
        <v>17100000</v>
      </c>
      <c r="E38" s="28">
        <v>18999000</v>
      </c>
      <c r="F38" s="12"/>
      <c r="G38" s="13">
        <f t="shared" si="1"/>
        <v>0</v>
      </c>
    </row>
    <row r="39" spans="1:8" ht="18" customHeight="1">
      <c r="A39" s="66"/>
      <c r="B39" s="67"/>
      <c r="C39" s="25" t="s">
        <v>10</v>
      </c>
      <c r="D39" s="31">
        <v>17100000</v>
      </c>
      <c r="E39" s="28">
        <v>18999000</v>
      </c>
      <c r="F39" s="12"/>
      <c r="G39" s="13">
        <f t="shared" si="1"/>
        <v>0</v>
      </c>
      <c r="H39" s="32"/>
    </row>
    <row r="40" spans="1:8" ht="18" customHeight="1">
      <c r="A40" s="60"/>
      <c r="B40" s="87" t="s">
        <v>37</v>
      </c>
      <c r="C40" s="29" t="s">
        <v>8</v>
      </c>
      <c r="D40" s="31">
        <v>4500000</v>
      </c>
      <c r="E40" s="28">
        <v>4999000</v>
      </c>
      <c r="F40" s="12"/>
      <c r="G40" s="13">
        <f t="shared" si="1"/>
        <v>0</v>
      </c>
      <c r="H40" s="14"/>
    </row>
    <row r="41" spans="1:8" ht="18" customHeight="1">
      <c r="A41" s="60"/>
      <c r="B41" s="87"/>
      <c r="C41" s="25" t="s">
        <v>7</v>
      </c>
      <c r="D41" s="31">
        <v>4500000</v>
      </c>
      <c r="E41" s="28">
        <v>4999000</v>
      </c>
      <c r="F41" s="12"/>
      <c r="G41" s="13">
        <f t="shared" si="1"/>
        <v>0</v>
      </c>
      <c r="H41" s="14"/>
    </row>
    <row r="42" spans="1:8" ht="18" customHeight="1">
      <c r="A42" s="60"/>
      <c r="B42" s="87"/>
      <c r="C42" s="35" t="s">
        <v>36</v>
      </c>
      <c r="D42" s="31">
        <v>4500000</v>
      </c>
      <c r="E42" s="28">
        <v>4999000</v>
      </c>
      <c r="F42" s="12">
        <v>1</v>
      </c>
      <c r="G42" s="13">
        <f t="shared" si="1"/>
        <v>4500000</v>
      </c>
      <c r="H42" s="14"/>
    </row>
    <row r="43" spans="1:8" ht="18" customHeight="1">
      <c r="A43" s="60"/>
      <c r="B43" s="77" t="s">
        <v>38</v>
      </c>
      <c r="C43" s="29" t="s">
        <v>8</v>
      </c>
      <c r="D43" s="31">
        <v>5400000</v>
      </c>
      <c r="E43" s="28">
        <v>5999000</v>
      </c>
      <c r="F43" s="12"/>
      <c r="G43" s="13">
        <f t="shared" si="1"/>
        <v>0</v>
      </c>
      <c r="H43" s="14"/>
    </row>
    <row r="44" spans="1:8" ht="18" customHeight="1">
      <c r="A44" s="60"/>
      <c r="B44" s="77"/>
      <c r="C44" s="25" t="s">
        <v>7</v>
      </c>
      <c r="D44" s="31">
        <v>5400000</v>
      </c>
      <c r="E44" s="28">
        <v>5999000</v>
      </c>
      <c r="F44" s="12"/>
      <c r="G44" s="13">
        <f t="shared" si="1"/>
        <v>0</v>
      </c>
      <c r="H44" s="14"/>
    </row>
    <row r="45" spans="1:8" ht="18" customHeight="1">
      <c r="A45" s="60"/>
      <c r="B45" s="77"/>
      <c r="C45" s="36" t="s">
        <v>7</v>
      </c>
      <c r="D45" s="31">
        <v>5400000</v>
      </c>
      <c r="E45" s="28">
        <v>5999000</v>
      </c>
      <c r="F45" s="12"/>
      <c r="G45" s="13">
        <f t="shared" si="1"/>
        <v>0</v>
      </c>
      <c r="H45" s="14"/>
    </row>
    <row r="46" spans="1:8" ht="18" customHeight="1">
      <c r="A46" s="60"/>
      <c r="B46" s="77"/>
      <c r="C46" s="35" t="s">
        <v>36</v>
      </c>
      <c r="D46" s="31">
        <v>5400000</v>
      </c>
      <c r="E46" s="28">
        <v>5999000</v>
      </c>
      <c r="F46" s="12"/>
      <c r="G46" s="13">
        <f t="shared" si="1"/>
        <v>0</v>
      </c>
      <c r="H46" s="14"/>
    </row>
    <row r="47" spans="1:8" ht="17.25">
      <c r="A47" s="34"/>
      <c r="B47" s="87" t="s">
        <v>39</v>
      </c>
      <c r="C47" s="29" t="s">
        <v>8</v>
      </c>
      <c r="D47" s="31">
        <v>3620000</v>
      </c>
      <c r="E47" s="28">
        <v>3999000</v>
      </c>
      <c r="F47" s="12"/>
      <c r="G47" s="13">
        <f t="shared" si="1"/>
        <v>0</v>
      </c>
      <c r="H47" s="14"/>
    </row>
    <row r="48" spans="1:8" ht="17.25">
      <c r="A48" s="34"/>
      <c r="B48" s="87"/>
      <c r="C48" s="25" t="s">
        <v>7</v>
      </c>
      <c r="D48" s="31">
        <v>3620000</v>
      </c>
      <c r="E48" s="28">
        <v>3999000</v>
      </c>
      <c r="F48" s="12">
        <v>1</v>
      </c>
      <c r="G48" s="13">
        <f t="shared" si="1"/>
        <v>3620000</v>
      </c>
      <c r="H48" s="14"/>
    </row>
    <row r="49" spans="1:8" ht="17.25">
      <c r="A49" s="34"/>
      <c r="B49" s="87"/>
      <c r="C49" s="35" t="s">
        <v>36</v>
      </c>
      <c r="D49" s="31">
        <v>3620000</v>
      </c>
      <c r="E49" s="28">
        <v>3999000</v>
      </c>
      <c r="F49" s="12"/>
      <c r="G49" s="13">
        <f t="shared" si="1"/>
        <v>0</v>
      </c>
      <c r="H49" s="14"/>
    </row>
    <row r="50" spans="1:8" ht="18" customHeight="1">
      <c r="A50" s="60"/>
      <c r="B50" s="59" t="s">
        <v>31</v>
      </c>
      <c r="C50" s="18" t="s">
        <v>34</v>
      </c>
      <c r="D50" s="37">
        <v>6330000</v>
      </c>
      <c r="E50" s="38">
        <v>6999000</v>
      </c>
      <c r="F50" s="39"/>
      <c r="G50" s="13">
        <f t="shared" si="1"/>
        <v>0</v>
      </c>
      <c r="H50" s="14"/>
    </row>
    <row r="51" spans="1:8" ht="17.25">
      <c r="A51" s="60"/>
      <c r="B51" s="59"/>
      <c r="C51" s="19" t="s">
        <v>20</v>
      </c>
      <c r="D51" s="37">
        <v>6330000</v>
      </c>
      <c r="E51" s="38">
        <v>6999000</v>
      </c>
      <c r="F51" s="39"/>
      <c r="G51" s="13">
        <f t="shared" si="1"/>
        <v>0</v>
      </c>
      <c r="H51" s="14"/>
    </row>
    <row r="52" spans="1:8" ht="19.5" customHeight="1">
      <c r="A52" s="60"/>
      <c r="B52" s="59"/>
      <c r="C52" s="20" t="s">
        <v>8</v>
      </c>
      <c r="D52" s="37">
        <v>6330000</v>
      </c>
      <c r="E52" s="38">
        <v>6999000</v>
      </c>
      <c r="F52" s="39"/>
      <c r="G52" s="13">
        <f t="shared" si="1"/>
        <v>0</v>
      </c>
      <c r="H52" s="14"/>
    </row>
    <row r="53" spans="1:8" ht="17.25">
      <c r="A53" s="60"/>
      <c r="B53" s="59" t="s">
        <v>32</v>
      </c>
      <c r="C53" s="18" t="s">
        <v>34</v>
      </c>
      <c r="D53" s="37">
        <v>6780000</v>
      </c>
      <c r="E53" s="38">
        <v>7499000</v>
      </c>
      <c r="F53" s="39"/>
      <c r="G53" s="13">
        <f t="shared" si="1"/>
        <v>0</v>
      </c>
      <c r="H53" s="14"/>
    </row>
    <row r="54" spans="1:8" ht="17.25">
      <c r="A54" s="60"/>
      <c r="B54" s="59"/>
      <c r="C54" s="19" t="s">
        <v>20</v>
      </c>
      <c r="D54" s="37">
        <v>6780000</v>
      </c>
      <c r="E54" s="38">
        <v>7499000</v>
      </c>
      <c r="F54" s="39"/>
      <c r="G54" s="13">
        <f t="shared" si="1"/>
        <v>0</v>
      </c>
      <c r="H54" s="14"/>
    </row>
    <row r="55" spans="1:8" ht="17.25">
      <c r="A55" s="60"/>
      <c r="B55" s="59"/>
      <c r="C55" s="20" t="s">
        <v>8</v>
      </c>
      <c r="D55" s="37">
        <v>6780000</v>
      </c>
      <c r="E55" s="38">
        <v>7499000</v>
      </c>
      <c r="F55" s="39"/>
      <c r="G55" s="13">
        <f t="shared" si="1"/>
        <v>0</v>
      </c>
      <c r="H55" s="14"/>
    </row>
    <row r="56" spans="1:8" ht="17.25">
      <c r="A56" s="60"/>
      <c r="B56" s="59" t="s">
        <v>33</v>
      </c>
      <c r="C56" s="18" t="s">
        <v>34</v>
      </c>
      <c r="D56" s="37">
        <v>7680000</v>
      </c>
      <c r="E56" s="38">
        <v>8499000</v>
      </c>
      <c r="F56" s="39"/>
      <c r="G56" s="13">
        <f t="shared" si="1"/>
        <v>0</v>
      </c>
      <c r="H56" s="14"/>
    </row>
    <row r="57" spans="1:8" ht="17.25">
      <c r="A57" s="60"/>
      <c r="B57" s="59"/>
      <c r="C57" s="19" t="s">
        <v>20</v>
      </c>
      <c r="D57" s="37">
        <v>7680000</v>
      </c>
      <c r="E57" s="38">
        <v>8499000</v>
      </c>
      <c r="F57" s="39"/>
      <c r="G57" s="13">
        <f t="shared" si="1"/>
        <v>0</v>
      </c>
      <c r="H57" s="14"/>
    </row>
    <row r="58" spans="1:8" ht="17.25">
      <c r="A58" s="60"/>
      <c r="B58" s="59"/>
      <c r="C58" s="20" t="s">
        <v>8</v>
      </c>
      <c r="D58" s="37">
        <v>7680000</v>
      </c>
      <c r="E58" s="38">
        <v>8499000</v>
      </c>
      <c r="F58" s="39"/>
      <c r="G58" s="13">
        <f t="shared" si="1"/>
        <v>0</v>
      </c>
      <c r="H58" s="14"/>
    </row>
    <row r="59" spans="1:8" ht="15.75" customHeight="1">
      <c r="A59" s="34"/>
      <c r="B59" s="59" t="s">
        <v>24</v>
      </c>
      <c r="C59" s="40" t="s">
        <v>30</v>
      </c>
      <c r="D59" s="37">
        <v>5350000</v>
      </c>
      <c r="E59" s="38">
        <v>6499000</v>
      </c>
      <c r="F59" s="39"/>
      <c r="G59" s="13">
        <f t="shared" si="1"/>
        <v>0</v>
      </c>
      <c r="H59" s="14"/>
    </row>
    <row r="60" spans="1:8" ht="16.5" customHeight="1">
      <c r="A60" s="34"/>
      <c r="B60" s="59"/>
      <c r="C60" s="36" t="s">
        <v>7</v>
      </c>
      <c r="D60" s="37">
        <v>5350000</v>
      </c>
      <c r="E60" s="38">
        <v>6499000</v>
      </c>
      <c r="F60" s="39"/>
      <c r="G60" s="13">
        <f t="shared" si="1"/>
        <v>0</v>
      </c>
      <c r="H60" s="14"/>
    </row>
    <row r="61" spans="1:8" ht="15.75" customHeight="1">
      <c r="A61" s="34"/>
      <c r="B61" s="59"/>
      <c r="C61" s="41" t="s">
        <v>23</v>
      </c>
      <c r="D61" s="37">
        <v>5350000</v>
      </c>
      <c r="E61" s="38">
        <v>6499000</v>
      </c>
      <c r="F61" s="39"/>
      <c r="G61" s="13">
        <f t="shared" si="1"/>
        <v>0</v>
      </c>
      <c r="H61" s="14"/>
    </row>
    <row r="62" spans="1:8" ht="17.25">
      <c r="A62" s="34"/>
      <c r="B62" s="59" t="s">
        <v>40</v>
      </c>
      <c r="C62" s="42" t="s">
        <v>49</v>
      </c>
      <c r="D62" s="37">
        <v>3140000</v>
      </c>
      <c r="E62" s="37">
        <v>3799000</v>
      </c>
      <c r="F62" s="39"/>
      <c r="G62" s="13">
        <f t="shared" si="1"/>
        <v>0</v>
      </c>
      <c r="H62" s="14"/>
    </row>
    <row r="63" spans="1:8" ht="17.25">
      <c r="A63" s="34"/>
      <c r="B63" s="59"/>
      <c r="C63" s="40" t="s">
        <v>50</v>
      </c>
      <c r="D63" s="37">
        <v>3140000</v>
      </c>
      <c r="E63" s="37">
        <v>3799000</v>
      </c>
      <c r="F63" s="39"/>
      <c r="G63" s="13">
        <f t="shared" si="1"/>
        <v>0</v>
      </c>
      <c r="H63" s="14"/>
    </row>
    <row r="64" spans="1:8" ht="15.75" customHeight="1">
      <c r="A64" s="34"/>
      <c r="B64" s="65" t="s">
        <v>60</v>
      </c>
      <c r="C64" s="43" t="s">
        <v>59</v>
      </c>
      <c r="D64" s="11">
        <v>15085000</v>
      </c>
      <c r="E64" s="11">
        <v>15999000</v>
      </c>
      <c r="F64" s="12"/>
      <c r="G64" s="13">
        <f t="shared" si="1"/>
        <v>0</v>
      </c>
      <c r="H64" s="14"/>
    </row>
    <row r="65" spans="1:8" ht="17.25">
      <c r="A65" s="34"/>
      <c r="B65" s="65"/>
      <c r="C65" s="44" t="s">
        <v>56</v>
      </c>
      <c r="D65" s="11">
        <v>15085000</v>
      </c>
      <c r="E65" s="11">
        <v>15999000</v>
      </c>
      <c r="F65" s="12"/>
      <c r="G65" s="13">
        <f t="shared" si="1"/>
        <v>0</v>
      </c>
      <c r="H65" s="14"/>
    </row>
    <row r="66" spans="1:8" ht="17.25">
      <c r="A66" s="34"/>
      <c r="B66" s="65"/>
      <c r="C66" s="25" t="s">
        <v>58</v>
      </c>
      <c r="D66" s="11">
        <v>15085000</v>
      </c>
      <c r="E66" s="11">
        <v>15999000</v>
      </c>
      <c r="F66" s="12"/>
      <c r="G66" s="13">
        <f t="shared" si="1"/>
        <v>0</v>
      </c>
      <c r="H66" s="14"/>
    </row>
    <row r="67" spans="1:8" ht="18.75">
      <c r="A67" s="55" t="s">
        <v>11</v>
      </c>
      <c r="B67" s="56"/>
      <c r="C67" s="57"/>
      <c r="D67" s="58"/>
      <c r="E67" s="45" t="s">
        <v>12</v>
      </c>
      <c r="F67" s="46">
        <f>SUM( ,F4:F63)</f>
        <v>3</v>
      </c>
      <c r="G67" s="47">
        <f>SUM(G4:G66)</f>
        <v>9949000</v>
      </c>
      <c r="H67" s="14"/>
    </row>
    <row r="68" spans="1:8">
      <c r="A68" s="82"/>
      <c r="B68" s="82"/>
      <c r="C68" s="82"/>
      <c r="D68" s="82"/>
      <c r="E68" s="82"/>
      <c r="F68" s="83"/>
      <c r="G68" s="48"/>
      <c r="H68" s="14"/>
    </row>
    <row r="69" spans="1:8">
      <c r="A69" s="82"/>
      <c r="B69" s="82"/>
      <c r="C69" s="82"/>
      <c r="D69" s="82"/>
      <c r="E69" s="82"/>
      <c r="F69" s="83"/>
      <c r="G69" s="48"/>
      <c r="H69" s="49"/>
    </row>
    <row r="70" spans="1:8">
      <c r="A70" s="71"/>
      <c r="B70" s="72"/>
      <c r="C70" s="72"/>
      <c r="D70" s="72"/>
      <c r="E70" s="72"/>
      <c r="F70" s="73"/>
      <c r="G70" s="50">
        <f>SUM(G68:G69)</f>
        <v>0</v>
      </c>
      <c r="H70" s="49"/>
    </row>
    <row r="71" spans="1:8" ht="15.75">
      <c r="A71" s="84" t="s">
        <v>13</v>
      </c>
      <c r="B71" s="85"/>
      <c r="C71" s="85"/>
      <c r="D71" s="86"/>
      <c r="E71" s="78" t="s">
        <v>14</v>
      </c>
      <c r="F71" s="79"/>
      <c r="G71" s="88">
        <f>SUM(G67-G70)</f>
        <v>9949000</v>
      </c>
      <c r="H71" s="14"/>
    </row>
    <row r="72" spans="1:8" ht="15.75">
      <c r="A72" s="74" t="s">
        <v>15</v>
      </c>
      <c r="B72" s="75"/>
      <c r="C72" s="75"/>
      <c r="D72" s="76"/>
      <c r="E72" s="80"/>
      <c r="F72" s="81"/>
      <c r="G72" s="89"/>
      <c r="H72" s="14"/>
    </row>
    <row r="73" spans="1:8">
      <c r="A73" s="90" t="s">
        <v>16</v>
      </c>
      <c r="B73" s="91"/>
      <c r="C73" s="91"/>
      <c r="D73" s="92"/>
      <c r="E73" s="51"/>
      <c r="F73" s="51"/>
      <c r="G73" s="52"/>
      <c r="H73" s="14"/>
    </row>
    <row r="74" spans="1:8">
      <c r="A74" s="97" t="s">
        <v>17</v>
      </c>
      <c r="B74" s="98"/>
      <c r="C74" s="99"/>
      <c r="D74" s="96"/>
      <c r="E74" s="96"/>
      <c r="F74" s="96"/>
      <c r="G74" s="96"/>
      <c r="H74" s="14"/>
    </row>
    <row r="75" spans="1:8">
      <c r="A75" s="100"/>
      <c r="B75" s="101"/>
      <c r="C75" s="102"/>
      <c r="D75" s="93"/>
      <c r="E75" s="93"/>
      <c r="F75" s="93"/>
      <c r="G75" s="93"/>
      <c r="H75" s="49"/>
    </row>
    <row r="76" spans="1:8">
      <c r="A76" s="103"/>
      <c r="B76" s="104"/>
      <c r="C76" s="105"/>
      <c r="D76" s="54"/>
      <c r="E76" s="54"/>
      <c r="F76" s="54"/>
      <c r="G76" s="54"/>
      <c r="H76" s="14"/>
    </row>
    <row r="77" spans="1:8">
      <c r="A77" s="3"/>
      <c r="B77" s="3"/>
      <c r="C77" s="3"/>
      <c r="D77" s="3"/>
      <c r="E77" s="3"/>
      <c r="F77" s="3"/>
      <c r="G77" s="53"/>
      <c r="H77" s="14"/>
    </row>
    <row r="78" spans="1:8">
      <c r="A78" s="3"/>
      <c r="B78" s="3"/>
      <c r="C78" s="3"/>
      <c r="D78" s="3"/>
      <c r="E78" s="3"/>
      <c r="F78" s="3"/>
      <c r="G78" s="53"/>
      <c r="H78" s="14"/>
    </row>
    <row r="79" spans="1:8">
      <c r="A79" s="3"/>
      <c r="B79" s="3"/>
      <c r="C79" s="3"/>
      <c r="D79" s="3"/>
      <c r="E79" s="3"/>
      <c r="F79" s="3"/>
      <c r="G79" s="53"/>
      <c r="H79" s="14"/>
    </row>
    <row r="80" spans="1:8">
      <c r="H80" s="49"/>
    </row>
  </sheetData>
  <sheetProtection formatCells="0" insertHyperlinks="0" autoFilter="0"/>
  <mergeCells count="46">
    <mergeCell ref="D1:G1"/>
    <mergeCell ref="A6:A7"/>
    <mergeCell ref="B53:B55"/>
    <mergeCell ref="D74:G74"/>
    <mergeCell ref="A74:C76"/>
    <mergeCell ref="B50:B52"/>
    <mergeCell ref="B47:B49"/>
    <mergeCell ref="A34:A36"/>
    <mergeCell ref="B4:B5"/>
    <mergeCell ref="B11:B12"/>
    <mergeCell ref="B19:B20"/>
    <mergeCell ref="B8:B10"/>
    <mergeCell ref="B6:B7"/>
    <mergeCell ref="B17:B18"/>
    <mergeCell ref="B37:B39"/>
    <mergeCell ref="A1:C1"/>
    <mergeCell ref="A43:A46"/>
    <mergeCell ref="A70:F70"/>
    <mergeCell ref="A72:D72"/>
    <mergeCell ref="B43:B46"/>
    <mergeCell ref="A40:A42"/>
    <mergeCell ref="A37:A39"/>
    <mergeCell ref="E71:F72"/>
    <mergeCell ref="B62:B63"/>
    <mergeCell ref="A68:F68"/>
    <mergeCell ref="A71:D71"/>
    <mergeCell ref="A69:F69"/>
    <mergeCell ref="B64:B66"/>
    <mergeCell ref="B40:B42"/>
    <mergeCell ref="B34:B36"/>
    <mergeCell ref="A50:A52"/>
    <mergeCell ref="A2:G2"/>
    <mergeCell ref="A31:A33"/>
    <mergeCell ref="B15:B16"/>
    <mergeCell ref="A13:A14"/>
    <mergeCell ref="B31:B33"/>
    <mergeCell ref="B13:B14"/>
    <mergeCell ref="D76:G76"/>
    <mergeCell ref="A67:D67"/>
    <mergeCell ref="B59:B61"/>
    <mergeCell ref="A53:A55"/>
    <mergeCell ref="B56:B58"/>
    <mergeCell ref="G71:G72"/>
    <mergeCell ref="A73:D73"/>
    <mergeCell ref="A56:A58"/>
    <mergeCell ref="D75:G75"/>
  </mergeCells>
  <pageMargins left="0.74990626395218019" right="0.74990626395218019" top="0.99987495602585208" bottom="0.99987495602585208" header="0.49993747801292604" footer="0.49993747801292604"/>
  <pageSetup paperSize="0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</dc:creator>
  <cp:lastModifiedBy>GOSPEL</cp:lastModifiedBy>
  <dcterms:created xsi:type="dcterms:W3CDTF">2017-06-19T00:47:00Z</dcterms:created>
  <dcterms:modified xsi:type="dcterms:W3CDTF">2026-01-08T06:06:09Z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304f0be1d783468ea1797e2e704ba599</vt:lpwstr>
  </property>
</Properties>
</file>